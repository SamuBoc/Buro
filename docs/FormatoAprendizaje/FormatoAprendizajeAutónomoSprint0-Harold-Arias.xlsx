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AROLD ARIAS\Downloads\"/>
    </mc:Choice>
  </mc:AlternateContent>
  <xr:revisionPtr revIDLastSave="0" documentId="13_ncr:1_{D935D405-0F45-49E2-AB69-6EBA52FFE915}" xr6:coauthVersionLast="47" xr6:coauthVersionMax="47" xr10:uidLastSave="{00000000-0000-0000-0000-000000000000}"/>
  <bookViews>
    <workbookView xWindow="-108" yWindow="-108" windowWidth="23256" windowHeight="14616" firstSheet="3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<sst xmlns="http://schemas.openxmlformats.org/spreadsheetml/2006/main" count="185" uniqueCount="115">
  <si>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</si>
  <si>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</si>
  <si>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</si>
  <si>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</si>
  <si>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</si>
  <si>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</si>
  <si>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</si>
  <si>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</si>
  <si>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</si>
  <si>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</si>
  <si>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</si>
  <si>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</si>
  <si>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</si>
  <si>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</si>
  <si>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</si>
  <si>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</si>
  <si>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</si>
  <si>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</si>
  <si>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</si>
  <si>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</si>
  <si>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</si>
  <si>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</si>
  <si>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</si>
  <si>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</si>
  <si>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</si>
  <si>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</si>
  <si>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</si>
  <si>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</si>
  <si>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</si>
  <si>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</si>
  <si>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</si>
  <si>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</si>
  <si>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</si>
  <si>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</si>
  <si>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</si>
  <si>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</si>
  <si>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</si>
  <si>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</si>
  <si>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</si>
  <si>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</si>
  <si>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</si>
  <si>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</si>
  <si>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</si>
  <si>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</si>
  <si>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</si>
  <si>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</si>
  <si>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</si>
  <si>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</si>
  <si>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</si>
  <si>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</si>
  <si>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</si>
  <si>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</si>
  <si>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</si>
  <si>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</si>
  <si>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</si>
  <si>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</si>
  <si>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</si>
  <si>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</si>
  <si>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</si>
  <si>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</si>
  <si>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</si>
  <si>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</si>
  <si>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</si>
  <si>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</si>
  <si>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</si>
  <si>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</si>
  <si>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</si>
  <si>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</si>
  <si>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</si>
  <si>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Mejorar la postura, contacto visual y uso del espacio al hablar frente a otros para transmitir seguridad y claridad.</t>
  </si>
  <si>
    <t>Practicar presentaciones cortas frente al espejo o grabándome, controlar postura corporal y gestos, analizar videos propios y corregir.</t>
  </si>
  <si>
    <t>Cámara del celular, videos de oratoria, retroalimentación de compañeros o profesor.</t>
  </si>
  <si>
    <t>4–6 semanas</t>
  </si>
  <si>
    <t>1 grabación y análisis por semana.</t>
  </si>
  <si>
    <t>Desarrollar mayor seguridad al hablar en público y expresar ideas sin miedo.</t>
  </si>
  <si>
    <t>Participar activamente en clases, realizar exposiciones voluntarias, practicar técnicas de respiración antes de hablar.</t>
  </si>
  <si>
    <t>Profesor, compañeros, videos de desarrollo personal.</t>
  </si>
  <si>
    <t>6–8 semanas</t>
  </si>
  <si>
    <t>Participar al menos 2 veces por semana en clase.</t>
  </si>
  <si>
    <t>Comprender y aplicar correctamente el modelo relacional para diseñar bases de datos funcionales.</t>
  </si>
  <si>
    <t>Diseñar diagramas entidad-relación, transformarlos en tablas relacionales, realizar ejercicios prácticos.</t>
  </si>
  <si>
    <t>Apuntes de clase, libros de bases de datos, herramientas como MySQL Workbench.</t>
  </si>
  <si>
    <t>6 semanas</t>
  </si>
  <si>
    <t>Diseñar al menos 1 modelo de BD por semana.</t>
  </si>
  <si>
    <t>Aprender a diseñar casos de prueba utilizando técnicas de caja negra.</t>
  </si>
  <si>
    <t>Estudiar técnicas (partición de equivalencia, valores límite), crear casos de prueba para sistemas simples.</t>
  </si>
  <si>
    <t>Documentación de testing, ejemplos prácticos, clases de ingeniería de software.</t>
  </si>
  <si>
    <t>Diseñar al menos 5 casos de prueba por semana.</t>
  </si>
  <si>
    <t>Desarrollar una aplicación web básica utilizando Django.</t>
  </si>
  <si>
    <t>Instalar Django, crear un proyecto, implementar modelos, vistas y plantillas, conectar con base de datos.</t>
  </si>
  <si>
    <t>Documentación oficial de Django, tutoriales, Python.</t>
  </si>
  <si>
    <t>Avanzar un módulo del proyecto por semana.</t>
  </si>
  <si>
    <t>Organizar mejor las actividades académicas y personales para ser más productivo.</t>
  </si>
  <si>
    <t>Crear un horario semanal, priorizar tareas importantes, revisar y ajustar planificación cada semana.</t>
  </si>
  <si>
    <t>Agenda, aplicaciones de productividad, técnicas como Pomodoro.</t>
  </si>
  <si>
    <t>4 semanas</t>
  </si>
  <si>
    <t>Revisar y planificar cada domingo.</t>
  </si>
  <si>
    <t>Aprender a mantener la atención del público durante una presentación.</t>
  </si>
  <si>
    <t>Hacer preguntas a la audiencia, usar ejemplos claros, practicar cambios de tono y pausas al hablar.</t>
  </si>
  <si>
    <t>Retroalimentación de compañeros, grabaciones de presentaciones.</t>
  </si>
  <si>
    <t>Practicar al menos una mini-presentación semanal.</t>
  </si>
  <si>
    <t>Aprender a usar Jira para gestionar tareas y proyectos de software.</t>
  </si>
  <si>
    <t>Crear proyectos, tareas, historias de usuario y tableros Scrum.</t>
  </si>
  <si>
    <t>Tutoriales de Jira, documentación de Atlassian.</t>
  </si>
  <si>
    <t>3–4 semanas</t>
  </si>
  <si>
    <t>Crear y gestionar un tablero de proyecto semanalmente.</t>
  </si>
  <si>
    <t>Automatizar pruebas funcionales de una aplicación web usando Selenium.</t>
  </si>
  <si>
    <t>Instalar Selenium, escribir scripts de prueba en Python, automatizar flujos básicos de una web.</t>
  </si>
  <si>
    <t>Documentación de Selenium, Python, navegador ChromeDriver.</t>
  </si>
  <si>
    <t>Automatizar al menos 2 pruebas por semana.</t>
  </si>
  <si>
    <t>Mejorar habilidades de programación en Python para resolver problemas y desarrollar aplicaciones.</t>
  </si>
  <si>
    <t>Resolver ejercicios, desarrollar pequeños proyectos, practicar estructuras de datos y funciones.</t>
  </si>
  <si>
    <t>Documentación de Python, plataformas de práctica (HackerRank, LeetCode).</t>
  </si>
  <si>
    <t>8 semanas</t>
  </si>
  <si>
    <t>Resolver 5–10 ejercicios por semana.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</si>
</sst>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2" fillId="0" borderId="0" xfId="0" applyFont="1"/>
    <xf numFmtId="0" fontId="20" fillId="0" borderId="0" xfId="0" applyFont="1"/>
    <xf numFmtId="0" fontId="0" fillId="0" borderId="2" xfId="0" applyBorder="1"/>
    <xf numFmtId="0" fontId="8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3" fillId="0" borderId="0" xfId="0" applyFont="1" applyAlignment="1">
      <alignment horizontal="left" wrapText="1"/>
    </xf>
    <xf numFmtId="0" fontId="0" fillId="0" borderId="8" xfId="0" applyBorder="1"/>
    <xf numFmtId="0" fontId="0" fillId="0" borderId="15" xfId="0" applyBorder="1"/>
    <xf numFmtId="0" fontId="0" fillId="0" borderId="16" xfId="0" applyBorder="1"/>
    <xf numFmtId="0" fontId="14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0" xfId="0" applyBorder="1"/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2.5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2.2999999999999998</c:v>
                </c:pt>
                <c:pt idx="4">
                  <c:v>5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-2476500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9" workbookViewId="0">
      <selection activeCell="B23" sqref="B23"/>
    </sheetView>
  </sheetViews>
  <sheetFormatPr baseColWidth="10" defaultColWidth="8.88671875" defaultRowHeight="14.4" x14ac:dyDescent="0.3"/>
  <cols>
    <col min="2" max="2" width="154.5546875" customWidth="1"/>
  </cols>
  <sheetData>
    <row r="1" spans="1:6" x14ac:dyDescent="0.3">
      <c r="A1" s="35"/>
      <c r="B1" s="13"/>
    </row>
    <row r="2" spans="1:6" ht="47.4" x14ac:dyDescent="0.9">
      <c r="B2" s="28" t="s">
        <v>0</v>
      </c>
      <c r="D2" s="29"/>
      <c r="E2" s="29"/>
      <c r="F2" s="29"/>
    </row>
    <row r="4" spans="1:6" ht="45.6" x14ac:dyDescent="0.3">
      <c r="B4" s="32" t="s">
        <v>1</v>
      </c>
    </row>
    <row r="5" spans="1:6" ht="15.6" x14ac:dyDescent="0.3">
      <c r="B5" s="32"/>
    </row>
    <row r="6" spans="1:6" ht="15.6" x14ac:dyDescent="0.3">
      <c r="B6" s="33" t="s">
        <v>2</v>
      </c>
    </row>
    <row r="7" spans="1:6" ht="34.200000000000003" x14ac:dyDescent="0.55000000000000004">
      <c r="B7" s="33" t="s">
        <v>3</v>
      </c>
      <c r="C7" s="30"/>
    </row>
    <row r="8" spans="1:6" ht="28.8" x14ac:dyDescent="0.55000000000000004">
      <c r="B8" s="33" t="s">
        <v>4</v>
      </c>
      <c r="C8" s="30"/>
    </row>
    <row r="9" spans="1:6" ht="28.8" x14ac:dyDescent="0.55000000000000004">
      <c r="B9" s="33" t="s">
        <v>5</v>
      </c>
      <c r="C9" s="30"/>
    </row>
    <row r="10" spans="1:6" ht="15.6" x14ac:dyDescent="0.3">
      <c r="B10" s="33" t="s">
        <v>6</v>
      </c>
    </row>
    <row r="11" spans="1:6" ht="15.6" x14ac:dyDescent="0.3">
      <c r="B11" s="31"/>
    </row>
    <row r="12" spans="1:6" ht="30.6" x14ac:dyDescent="0.3">
      <c r="B12" s="32" t="s">
        <v>7</v>
      </c>
    </row>
    <row r="13" spans="1:6" ht="15.6" x14ac:dyDescent="0.3">
      <c r="B13" s="31"/>
    </row>
    <row r="14" spans="1:6" ht="15.6" x14ac:dyDescent="0.3">
      <c r="B14" s="34"/>
    </row>
    <row r="15" spans="1:6" ht="15.6" x14ac:dyDescent="0.3">
      <c r="B15" s="34"/>
    </row>
    <row r="16" spans="1:6" ht="15.6" x14ac:dyDescent="0.3">
      <c r="B16" s="34"/>
    </row>
    <row r="17" spans="2:2" ht="15.6" x14ac:dyDescent="0.3">
      <c r="B17" s="34"/>
    </row>
    <row r="18" spans="2:2" ht="15.6" x14ac:dyDescent="0.3">
      <c r="B18" s="34"/>
    </row>
    <row r="19" spans="2:2" ht="15.6" x14ac:dyDescent="0.3">
      <c r="B19" s="31"/>
    </row>
    <row r="21" spans="2:2" x14ac:dyDescent="0.3">
      <c r="B21" s="35" t="s">
        <v>8</v>
      </c>
    </row>
    <row r="52" spans="1:2" x14ac:dyDescent="0.3">
      <c r="A52" s="35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31" workbookViewId="0">
      <selection activeCell="C32" sqref="C32:E38"/>
    </sheetView>
  </sheetViews>
  <sheetFormatPr baseColWidth="10" defaultColWidth="8.886718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5" bestFit="1" customWidth="1"/>
  </cols>
  <sheetData>
    <row r="32" spans="2:17" ht="15" customHeight="1" x14ac:dyDescent="0.3">
      <c r="B32" s="9"/>
      <c r="C32" s="53" t="s">
        <v>9</v>
      </c>
      <c r="D32" s="54"/>
      <c r="E32" s="54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s="9"/>
      <c r="C33" s="54"/>
      <c r="D33" s="54"/>
      <c r="E33" s="5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s="9"/>
      <c r="C34" s="54"/>
      <c r="D34" s="54"/>
      <c r="E34" s="54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s="9"/>
      <c r="C35" s="54"/>
      <c r="D35" s="54"/>
      <c r="E35" s="54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s="9"/>
      <c r="C36" s="54"/>
      <c r="D36" s="54"/>
      <c r="E36" s="54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s="9"/>
      <c r="C37" s="54"/>
      <c r="D37" s="54"/>
      <c r="E37" s="54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9"/>
      <c r="C38" s="54"/>
      <c r="D38" s="54"/>
      <c r="E38" s="54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9"/>
      <c r="C41" s="50" t="s">
        <v>12</v>
      </c>
      <c r="D41" s="10" t="s">
        <v>13</v>
      </c>
      <c r="E41" s="11">
        <v>1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9"/>
      <c r="C42" s="51"/>
      <c r="D42" s="10" t="s">
        <v>14</v>
      </c>
      <c r="E42" s="11">
        <v>2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9"/>
      <c r="C43" s="51"/>
      <c r="D43" s="10" t="s">
        <v>15</v>
      </c>
      <c r="E43" s="11">
        <v>3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9"/>
      <c r="C44" s="51"/>
      <c r="D44" s="10" t="s">
        <v>16</v>
      </c>
      <c r="E44" s="11">
        <v>4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9"/>
      <c r="C45" s="51"/>
      <c r="D45" s="10" t="s">
        <v>17</v>
      </c>
      <c r="E45" s="11">
        <v>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3">
      <c r="B46" s="9"/>
      <c r="C46" s="51"/>
      <c r="D46" s="10" t="s">
        <v>18</v>
      </c>
      <c r="E46" s="11">
        <v>1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9"/>
      <c r="C47" s="52"/>
      <c r="D47" s="10" t="s">
        <v>19</v>
      </c>
      <c r="E47" s="11">
        <v>2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3">
      <c r="B48" s="9"/>
      <c r="C48" s="50" t="s">
        <v>20</v>
      </c>
      <c r="D48" s="12" t="s">
        <v>21</v>
      </c>
      <c r="E48" s="11">
        <v>3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52"/>
      <c r="D49" s="12" t="s">
        <v>22</v>
      </c>
      <c r="E49" s="11">
        <v>4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50" t="s">
        <v>23</v>
      </c>
      <c r="D50" s="12" t="s">
        <v>24</v>
      </c>
      <c r="E50" s="11">
        <v>5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51"/>
      <c r="D51" s="12" t="s">
        <v>25</v>
      </c>
      <c r="E51" s="11">
        <v>1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52"/>
      <c r="D52" s="12" t="s">
        <v>26</v>
      </c>
      <c r="E52" s="11">
        <v>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workbookViewId="0">
      <selection activeCell="B2" sqref="B2:D8"/>
    </sheetView>
  </sheetViews>
  <sheetFormatPr baseColWidth="10" defaultColWidth="8.88671875" defaultRowHeight="14.4" x14ac:dyDescent="0.3"/>
  <cols>
    <col min="1" max="1" width="4.44140625" customWidth="1"/>
    <col min="2" max="2" width="5.44140625" customWidth="1"/>
    <col min="3" max="3" width="50" bestFit="1" customWidth="1"/>
    <col min="4" max="4" width="17.33203125" bestFit="1" customWidth="1"/>
  </cols>
  <sheetData>
    <row r="2" spans="2:17" ht="15" customHeight="1" x14ac:dyDescent="0.3">
      <c r="B2" s="55" t="s">
        <v>9</v>
      </c>
      <c r="C2" s="56"/>
      <c r="D2" s="56"/>
      <c r="E2" s="45"/>
    </row>
    <row r="3" spans="2:17" x14ac:dyDescent="0.3">
      <c r="B3" s="56"/>
      <c r="C3" s="56"/>
      <c r="D3" s="56"/>
      <c r="E3" s="45"/>
    </row>
    <row r="4" spans="2:17" x14ac:dyDescent="0.3">
      <c r="B4" s="56"/>
      <c r="C4" s="56"/>
      <c r="D4" s="56"/>
      <c r="E4" s="45"/>
    </row>
    <row r="5" spans="2:17" x14ac:dyDescent="0.3">
      <c r="B5" s="56"/>
      <c r="C5" s="56"/>
      <c r="D5" s="56"/>
      <c r="E5" s="45"/>
    </row>
    <row r="6" spans="2:17" x14ac:dyDescent="0.3">
      <c r="B6" s="56"/>
      <c r="C6" s="56"/>
      <c r="D6" s="56"/>
      <c r="E6" s="45"/>
    </row>
    <row r="7" spans="2:17" x14ac:dyDescent="0.3">
      <c r="B7" s="56"/>
      <c r="C7" s="56"/>
      <c r="D7" s="56"/>
      <c r="E7" s="45"/>
    </row>
    <row r="8" spans="2:17" x14ac:dyDescent="0.3">
      <c r="B8" s="56"/>
      <c r="C8" s="56"/>
      <c r="D8" s="56"/>
      <c r="E8" s="45"/>
    </row>
    <row r="9" spans="2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28</v>
      </c>
      <c r="D15" s="5">
        <v>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4" t="s">
        <v>29</v>
      </c>
      <c r="D16" s="5">
        <v>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4" t="s">
        <v>30</v>
      </c>
      <c r="D17" s="5">
        <v>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4" t="s">
        <v>31</v>
      </c>
      <c r="D18" s="5">
        <v>2.5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4" t="s">
        <v>32</v>
      </c>
      <c r="D19" s="5">
        <v>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4" t="s">
        <v>33</v>
      </c>
      <c r="D20" s="5">
        <v>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4" t="s">
        <v>34</v>
      </c>
      <c r="D21" s="5">
        <v>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4" t="s">
        <v>35</v>
      </c>
      <c r="D22" s="5">
        <v>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37</v>
      </c>
      <c r="D41" s="8">
        <v>2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38</v>
      </c>
      <c r="D42" s="8">
        <v>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7" t="s">
        <v>39</v>
      </c>
      <c r="D43" s="8">
        <v>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7" t="s">
        <v>40</v>
      </c>
      <c r="D44" s="8">
        <v>2.2999999999999998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7" t="s">
        <v>41</v>
      </c>
      <c r="D45" s="8">
        <v>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7" t="s">
        <v>42</v>
      </c>
      <c r="D46" s="8">
        <v>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7" t="s">
        <v>43</v>
      </c>
      <c r="D47" s="8">
        <v>4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7" t="s">
        <v>45</v>
      </c>
      <c r="D49" s="8">
        <v>3.8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B10" workbookViewId="0">
      <selection activeCell="E13" sqref="E13"/>
    </sheetView>
  </sheetViews>
  <sheetFormatPr baseColWidth="10" defaultColWidth="8.88671875" defaultRowHeight="14.4" x14ac:dyDescent="0.3"/>
  <cols>
    <col min="2" max="2" width="31.88671875" customWidth="1"/>
    <col min="3" max="3" width="46.88671875" customWidth="1"/>
    <col min="4" max="4" width="24.88671875" bestFit="1" customWidth="1"/>
    <col min="5" max="5" width="18.5546875" customWidth="1"/>
    <col min="6" max="6" width="19.6640625" customWidth="1"/>
  </cols>
  <sheetData>
    <row r="2" spans="2:6" ht="36.75" customHeight="1" x14ac:dyDescent="0.3">
      <c r="C2" s="57" t="s">
        <v>46</v>
      </c>
      <c r="D2" s="58"/>
    </row>
    <row r="4" spans="2:6" ht="41.4" x14ac:dyDescent="0.3">
      <c r="B4" s="15" t="s">
        <v>47</v>
      </c>
      <c r="C4" s="43" t="s">
        <v>48</v>
      </c>
      <c r="F4" s="44"/>
    </row>
    <row r="5" spans="2:6" ht="41.4" x14ac:dyDescent="0.3">
      <c r="B5" s="15" t="s">
        <v>49</v>
      </c>
      <c r="C5" s="43" t="s">
        <v>50</v>
      </c>
    </row>
    <row r="6" spans="2:6" ht="69" x14ac:dyDescent="0.3">
      <c r="B6" s="15" t="s">
        <v>51</v>
      </c>
      <c r="C6" s="43" t="s">
        <v>52</v>
      </c>
    </row>
    <row r="7" spans="2:6" x14ac:dyDescent="0.3">
      <c r="B7" s="15"/>
      <c r="C7" s="43"/>
    </row>
    <row r="8" spans="2:6" x14ac:dyDescent="0.3">
      <c r="B8" s="15"/>
      <c r="C8" s="43"/>
    </row>
    <row r="9" spans="2:6" x14ac:dyDescent="0.3">
      <c r="B9" s="15"/>
      <c r="C9" s="41"/>
      <c r="D9" s="64" t="s">
        <v>53</v>
      </c>
      <c r="E9" s="64"/>
    </row>
    <row r="10" spans="2:6" ht="26.25" customHeight="1" x14ac:dyDescent="0.3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3">
      <c r="B11" s="15"/>
      <c r="C11" s="15"/>
    </row>
    <row r="12" spans="2:6" x14ac:dyDescent="0.3">
      <c r="B12" s="15"/>
      <c r="C12" s="18" t="s">
        <v>54</v>
      </c>
      <c r="D12" s="42" t="s">
        <v>55</v>
      </c>
      <c r="E12" s="42" t="s">
        <v>56</v>
      </c>
      <c r="F12" s="42" t="s">
        <v>51</v>
      </c>
    </row>
    <row r="13" spans="2:6" x14ac:dyDescent="0.3">
      <c r="B13" s="65" t="s">
        <v>12</v>
      </c>
      <c r="C13" s="19" t="s">
        <v>13</v>
      </c>
      <c r="D13" s="20">
        <v>5</v>
      </c>
      <c r="E13" s="20">
        <v>3</v>
      </c>
      <c r="F13" s="20" t="str">
        <f t="shared" ref="F13:F41" si="0">IF(E13=5,"OK",IF(D13=0,"Puede esperar",IF(AND(D13=5,E13=0),"Urgente","Importante")))</f>
        <v>Importante</v>
      </c>
    </row>
    <row r="14" spans="2:6" x14ac:dyDescent="0.3">
      <c r="B14" s="65"/>
      <c r="C14" s="19" t="s">
        <v>14</v>
      </c>
      <c r="D14" s="20">
        <v>3</v>
      </c>
      <c r="E14" s="20">
        <v>5</v>
      </c>
      <c r="F14" s="20" t="str">
        <f t="shared" si="0"/>
        <v>OK</v>
      </c>
    </row>
    <row r="15" spans="2:6" x14ac:dyDescent="0.3">
      <c r="B15" s="65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3">
      <c r="B16" s="65"/>
      <c r="C16" s="19" t="s">
        <v>16</v>
      </c>
      <c r="D16" s="20">
        <v>0</v>
      </c>
      <c r="E16" s="20">
        <v>3</v>
      </c>
      <c r="F16" s="20" t="str">
        <f t="shared" si="0"/>
        <v>Puede esperar</v>
      </c>
    </row>
    <row r="17" spans="2:6" x14ac:dyDescent="0.3">
      <c r="B17" s="65"/>
      <c r="C17" s="19" t="s">
        <v>17</v>
      </c>
      <c r="D17" s="20">
        <v>5</v>
      </c>
      <c r="E17" s="20">
        <v>3</v>
      </c>
      <c r="F17" s="20" t="str">
        <f t="shared" si="0"/>
        <v>Importante</v>
      </c>
    </row>
    <row r="18" spans="2:6" x14ac:dyDescent="0.3">
      <c r="B18" s="65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 x14ac:dyDescent="0.3">
      <c r="B19" s="65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 x14ac:dyDescent="0.3">
      <c r="B20" s="66" t="s">
        <v>20</v>
      </c>
      <c r="C20" s="21" t="s">
        <v>21</v>
      </c>
      <c r="D20" s="20">
        <v>3</v>
      </c>
      <c r="E20" s="20">
        <v>5</v>
      </c>
      <c r="F20" s="20" t="str">
        <f t="shared" si="0"/>
        <v>OK</v>
      </c>
    </row>
    <row r="21" spans="2:6" x14ac:dyDescent="0.3">
      <c r="B21" s="67"/>
      <c r="C21" s="21" t="s">
        <v>22</v>
      </c>
      <c r="D21" s="20">
        <v>0</v>
      </c>
      <c r="E21" s="20">
        <v>5</v>
      </c>
      <c r="F21" s="20" t="str">
        <f t="shared" si="0"/>
        <v>OK</v>
      </c>
    </row>
    <row r="22" spans="2:6" x14ac:dyDescent="0.3">
      <c r="B22" s="68" t="s">
        <v>23</v>
      </c>
      <c r="C22" s="21" t="s">
        <v>24</v>
      </c>
      <c r="D22" s="20">
        <v>0</v>
      </c>
      <c r="E22" s="20">
        <v>3</v>
      </c>
      <c r="F22" s="20" t="str">
        <f t="shared" si="0"/>
        <v>Puede esperar</v>
      </c>
    </row>
    <row r="23" spans="2:6" x14ac:dyDescent="0.3">
      <c r="B23" s="66"/>
      <c r="C23" s="21" t="s">
        <v>25</v>
      </c>
      <c r="D23" s="20">
        <v>3</v>
      </c>
      <c r="E23" s="20">
        <v>3</v>
      </c>
      <c r="F23" s="20" t="str">
        <f t="shared" si="0"/>
        <v>Importante</v>
      </c>
    </row>
    <row r="24" spans="2:6" x14ac:dyDescent="0.3">
      <c r="B24" s="67"/>
      <c r="C24" s="21" t="s">
        <v>26</v>
      </c>
      <c r="D24" s="20">
        <v>5</v>
      </c>
      <c r="E24" s="20">
        <v>3</v>
      </c>
      <c r="F24" s="20" t="str">
        <f t="shared" si="0"/>
        <v>Importante</v>
      </c>
    </row>
    <row r="25" spans="2:6" x14ac:dyDescent="0.3">
      <c r="B25" s="59" t="s">
        <v>27</v>
      </c>
      <c r="C25" s="22" t="s">
        <v>28</v>
      </c>
      <c r="D25" s="20">
        <v>5</v>
      </c>
      <c r="E25" s="20">
        <v>5</v>
      </c>
      <c r="F25" s="20" t="str">
        <f t="shared" si="0"/>
        <v>OK</v>
      </c>
    </row>
    <row r="26" spans="2:6" x14ac:dyDescent="0.3">
      <c r="B26" s="60"/>
      <c r="C26" s="22" t="s">
        <v>29</v>
      </c>
      <c r="D26" s="20">
        <v>3</v>
      </c>
      <c r="E26" s="20">
        <v>5</v>
      </c>
      <c r="F26" s="20" t="str">
        <f t="shared" si="0"/>
        <v>OK</v>
      </c>
    </row>
    <row r="27" spans="2:6" x14ac:dyDescent="0.3">
      <c r="B27" s="60"/>
      <c r="C27" s="22" t="s">
        <v>30</v>
      </c>
      <c r="D27" s="20">
        <v>0</v>
      </c>
      <c r="E27" s="20">
        <v>5</v>
      </c>
      <c r="F27" s="20" t="str">
        <f t="shared" si="0"/>
        <v>OK</v>
      </c>
    </row>
    <row r="28" spans="2:6" x14ac:dyDescent="0.3">
      <c r="B28" s="60"/>
      <c r="C28" s="22" t="s">
        <v>31</v>
      </c>
      <c r="D28" s="20">
        <v>0</v>
      </c>
      <c r="E28" s="20">
        <v>3</v>
      </c>
      <c r="F28" s="20" t="str">
        <f t="shared" si="0"/>
        <v>Puede esperar</v>
      </c>
    </row>
    <row r="29" spans="2:6" ht="27.6" x14ac:dyDescent="0.3">
      <c r="B29" s="60"/>
      <c r="C29" s="22" t="s">
        <v>32</v>
      </c>
      <c r="D29" s="20">
        <v>0</v>
      </c>
      <c r="E29" s="20">
        <v>5</v>
      </c>
      <c r="F29" s="20" t="str">
        <f t="shared" si="0"/>
        <v>OK</v>
      </c>
    </row>
    <row r="30" spans="2:6" x14ac:dyDescent="0.3">
      <c r="B30" s="60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7.6" x14ac:dyDescent="0.3">
      <c r="B31" s="60"/>
      <c r="C31" s="22" t="s">
        <v>34</v>
      </c>
      <c r="D31" s="20">
        <v>3</v>
      </c>
      <c r="E31" s="20">
        <v>3</v>
      </c>
      <c r="F31" s="20" t="str">
        <f t="shared" si="0"/>
        <v>Importante</v>
      </c>
    </row>
    <row r="32" spans="2:6" x14ac:dyDescent="0.3">
      <c r="B32" s="61"/>
      <c r="C32" s="22" t="s">
        <v>35</v>
      </c>
      <c r="D32" s="20">
        <v>3</v>
      </c>
      <c r="E32" s="20">
        <v>3</v>
      </c>
      <c r="F32" s="20" t="str">
        <f t="shared" si="0"/>
        <v>Importante</v>
      </c>
    </row>
    <row r="33" spans="2:6" x14ac:dyDescent="0.3">
      <c r="B33" s="62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3">
      <c r="B34" s="63"/>
      <c r="C34" s="23" t="s">
        <v>38</v>
      </c>
      <c r="D34" s="20">
        <v>3</v>
      </c>
      <c r="E34" s="20">
        <v>3</v>
      </c>
      <c r="F34" s="20" t="str">
        <f t="shared" si="0"/>
        <v>Importante</v>
      </c>
    </row>
    <row r="35" spans="2:6" x14ac:dyDescent="0.3">
      <c r="B35" s="63"/>
      <c r="C35" s="23" t="s">
        <v>39</v>
      </c>
      <c r="D35" s="20">
        <v>5</v>
      </c>
      <c r="E35" s="20">
        <v>3</v>
      </c>
      <c r="F35" s="20" t="str">
        <f t="shared" si="0"/>
        <v>Importante</v>
      </c>
    </row>
    <row r="36" spans="2:6" x14ac:dyDescent="0.3">
      <c r="B36" s="63"/>
      <c r="C36" s="23" t="s">
        <v>40</v>
      </c>
      <c r="D36" s="20">
        <v>5</v>
      </c>
      <c r="E36" s="20">
        <v>3</v>
      </c>
      <c r="F36" s="20" t="str">
        <f t="shared" si="0"/>
        <v>Importante</v>
      </c>
    </row>
    <row r="37" spans="2:6" x14ac:dyDescent="0.3">
      <c r="B37" s="63"/>
      <c r="C37" s="23" t="s">
        <v>41</v>
      </c>
      <c r="D37" s="20">
        <v>0</v>
      </c>
      <c r="E37" s="20">
        <v>5</v>
      </c>
      <c r="F37" s="20" t="str">
        <f t="shared" si="0"/>
        <v>OK</v>
      </c>
    </row>
    <row r="38" spans="2:6" x14ac:dyDescent="0.3">
      <c r="B38" s="63"/>
      <c r="C38" s="23" t="s">
        <v>42</v>
      </c>
      <c r="D38" s="20">
        <v>5</v>
      </c>
      <c r="E38" s="20">
        <v>3</v>
      </c>
      <c r="F38" s="20" t="str">
        <f t="shared" si="0"/>
        <v>Importante</v>
      </c>
    </row>
    <row r="39" spans="2:6" ht="28.2" x14ac:dyDescent="0.3">
      <c r="B39" s="63"/>
      <c r="C39" s="23" t="s">
        <v>43</v>
      </c>
      <c r="D39" s="20">
        <v>0</v>
      </c>
      <c r="E39" s="20">
        <v>3</v>
      </c>
      <c r="F39" s="20" t="str">
        <f t="shared" si="0"/>
        <v>Puede esperar</v>
      </c>
    </row>
    <row r="40" spans="2:6" x14ac:dyDescent="0.3">
      <c r="B40" s="63"/>
      <c r="C40" s="23" t="s">
        <v>44</v>
      </c>
      <c r="D40" s="20">
        <v>0</v>
      </c>
      <c r="E40" s="20">
        <v>5</v>
      </c>
      <c r="F40" s="20" t="str">
        <f t="shared" si="0"/>
        <v>OK</v>
      </c>
    </row>
    <row r="41" spans="2:6" x14ac:dyDescent="0.3">
      <c r="B41" s="63"/>
      <c r="C41" s="23" t="s">
        <v>45</v>
      </c>
      <c r="D41" s="20">
        <v>5</v>
      </c>
      <c r="E41" s="20">
        <v>5</v>
      </c>
      <c r="F41" s="20" t="str">
        <f t="shared" si="0"/>
        <v>OK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B6" sqref="B6"/>
    </sheetView>
  </sheetViews>
  <sheetFormatPr baseColWidth="10" defaultColWidth="8.88671875" defaultRowHeight="14.4" x14ac:dyDescent="0.3"/>
  <cols>
    <col min="1" max="1" width="44.88671875" bestFit="1" customWidth="1"/>
    <col min="2" max="2" width="46.109375" bestFit="1" customWidth="1"/>
  </cols>
  <sheetData>
    <row r="3" spans="1:2" x14ac:dyDescent="0.3">
      <c r="A3" s="17" t="s">
        <v>51</v>
      </c>
      <c r="B3" s="17" t="s">
        <v>54</v>
      </c>
    </row>
    <row r="4" spans="1:2" x14ac:dyDescent="0.3">
      <c r="A4" t="s">
        <v>57</v>
      </c>
      <c r="B4" t="s">
        <v>25</v>
      </c>
    </row>
    <row r="5" spans="1:2" x14ac:dyDescent="0.3">
      <c r="B5" t="s">
        <v>35</v>
      </c>
    </row>
    <row r="6" spans="1:2" x14ac:dyDescent="0.3">
      <c r="B6" t="s">
        <v>34</v>
      </c>
    </row>
    <row r="7" spans="1:2" x14ac:dyDescent="0.3">
      <c r="B7" t="s">
        <v>38</v>
      </c>
    </row>
    <row r="8" spans="1:2" x14ac:dyDescent="0.3">
      <c r="B8" t="s">
        <v>13</v>
      </c>
    </row>
    <row r="9" spans="1:2" x14ac:dyDescent="0.3">
      <c r="B9" t="s">
        <v>45</v>
      </c>
    </row>
    <row r="10" spans="1:2" x14ac:dyDescent="0.3">
      <c r="A10" t="s">
        <v>58</v>
      </c>
      <c r="B10" t="s">
        <v>17</v>
      </c>
    </row>
    <row r="11" spans="1:2" x14ac:dyDescent="0.3">
      <c r="B11" t="s">
        <v>40</v>
      </c>
    </row>
    <row r="12" spans="1:2" x14ac:dyDescent="0.3">
      <c r="B12" t="s">
        <v>26</v>
      </c>
    </row>
    <row r="13" spans="1:2" x14ac:dyDescent="0.3">
      <c r="B13" t="s">
        <v>42</v>
      </c>
    </row>
    <row r="14" spans="1:2" x14ac:dyDescent="0.3">
      <c r="B14" t="s">
        <v>39</v>
      </c>
    </row>
    <row r="15" spans="1:2" x14ac:dyDescent="0.3">
      <c r="A1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5"/>
  <sheetViews>
    <sheetView tabSelected="1" topLeftCell="A2" zoomScale="101" workbookViewId="0">
      <selection activeCell="G15" sqref="G15"/>
    </sheetView>
  </sheetViews>
  <sheetFormatPr baseColWidth="10" defaultColWidth="8.88671875" defaultRowHeight="14.4" x14ac:dyDescent="0.3"/>
  <cols>
    <col min="1" max="1" width="3.33203125" customWidth="1"/>
    <col min="2" max="2" width="47.33203125" customWidth="1"/>
    <col min="3" max="3" width="95.44140625" customWidth="1"/>
    <col min="4" max="4" width="113.44140625" customWidth="1"/>
    <col min="5" max="5" width="71.88671875" customWidth="1"/>
    <col min="6" max="6" width="37.5546875" customWidth="1"/>
    <col min="7" max="7" width="47.109375" customWidth="1"/>
  </cols>
  <sheetData>
    <row r="2" spans="2:7" ht="43.8" x14ac:dyDescent="0.75">
      <c r="B2" s="49" t="s">
        <v>60</v>
      </c>
      <c r="C2" s="49"/>
      <c r="D2" s="49"/>
      <c r="E2" s="49"/>
      <c r="F2" s="49"/>
      <c r="G2" s="49"/>
    </row>
    <row r="4" spans="2:7" ht="15.6" x14ac:dyDescent="0.3">
      <c r="B4" s="24" t="s">
        <v>61</v>
      </c>
      <c r="C4" s="25" t="s">
        <v>62</v>
      </c>
      <c r="D4" s="25" t="s">
        <v>63</v>
      </c>
      <c r="E4" s="26" t="s">
        <v>64</v>
      </c>
      <c r="F4" s="27" t="s">
        <v>65</v>
      </c>
      <c r="G4" s="27" t="s">
        <v>66</v>
      </c>
    </row>
    <row r="5" spans="2:7" ht="15" x14ac:dyDescent="0.3">
      <c r="B5" s="37"/>
      <c r="C5" s="38" t="s">
        <v>67</v>
      </c>
      <c r="D5" s="38" t="s">
        <v>68</v>
      </c>
      <c r="E5" s="39"/>
      <c r="F5" s="40"/>
      <c r="G5" s="40"/>
    </row>
    <row r="6" spans="2:7" x14ac:dyDescent="0.3">
      <c r="B6" s="46" t="s">
        <v>25</v>
      </c>
      <c r="C6" s="69" t="s">
        <v>69</v>
      </c>
      <c r="D6" s="69" t="s">
        <v>70</v>
      </c>
      <c r="E6" s="69" t="s">
        <v>71</v>
      </c>
      <c r="F6" s="70" t="s">
        <v>72</v>
      </c>
      <c r="G6" s="36" t="s">
        <v>73</v>
      </c>
    </row>
    <row r="7" spans="2:7" x14ac:dyDescent="0.3">
      <c r="B7" s="46" t="s">
        <v>17</v>
      </c>
      <c r="C7" s="47" t="s">
        <v>74</v>
      </c>
      <c r="D7" s="47" t="s">
        <v>75</v>
      </c>
      <c r="E7" s="47" t="s">
        <v>76</v>
      </c>
      <c r="F7" s="47" t="s">
        <v>77</v>
      </c>
      <c r="G7" s="48" t="s">
        <v>78</v>
      </c>
    </row>
    <row r="8" spans="2:7" x14ac:dyDescent="0.3">
      <c r="B8" s="71" t="s">
        <v>35</v>
      </c>
      <c r="C8" s="69" t="s">
        <v>79</v>
      </c>
      <c r="D8" s="69" t="s">
        <v>80</v>
      </c>
      <c r="E8" s="69" t="s">
        <v>81</v>
      </c>
      <c r="F8" s="69" t="s">
        <v>82</v>
      </c>
      <c r="G8" s="70" t="s">
        <v>83</v>
      </c>
    </row>
    <row r="9" spans="2:7" x14ac:dyDescent="0.3">
      <c r="B9" s="47" t="s">
        <v>40</v>
      </c>
      <c r="C9" s="47" t="s">
        <v>84</v>
      </c>
      <c r="D9" s="47" t="s">
        <v>85</v>
      </c>
      <c r="E9" s="47" t="s">
        <v>86</v>
      </c>
      <c r="F9" s="47" t="s">
        <v>72</v>
      </c>
      <c r="G9" s="47" t="s">
        <v>87</v>
      </c>
    </row>
    <row r="10" spans="2:7" x14ac:dyDescent="0.3">
      <c r="B10" s="47" t="s">
        <v>38</v>
      </c>
      <c r="C10" s="47" t="s">
        <v>88</v>
      </c>
      <c r="D10" s="47" t="s">
        <v>89</v>
      </c>
      <c r="E10" s="47" t="s">
        <v>90</v>
      </c>
      <c r="F10" s="47" t="s">
        <v>77</v>
      </c>
      <c r="G10" s="47" t="s">
        <v>91</v>
      </c>
    </row>
    <row r="11" spans="2:7" x14ac:dyDescent="0.3">
      <c r="B11" s="47" t="s">
        <v>13</v>
      </c>
      <c r="C11" s="47" t="s">
        <v>92</v>
      </c>
      <c r="D11" s="47" t="s">
        <v>93</v>
      </c>
      <c r="E11" s="47" t="s">
        <v>94</v>
      </c>
      <c r="F11" s="47" t="s">
        <v>95</v>
      </c>
      <c r="G11" s="47" t="s">
        <v>96</v>
      </c>
    </row>
    <row r="12" spans="2:7" x14ac:dyDescent="0.3">
      <c r="B12" s="47" t="s">
        <v>26</v>
      </c>
      <c r="C12" s="47" t="s">
        <v>97</v>
      </c>
      <c r="D12" s="47" t="s">
        <v>98</v>
      </c>
      <c r="E12" s="47" t="s">
        <v>99</v>
      </c>
      <c r="F12" s="47" t="s">
        <v>72</v>
      </c>
      <c r="G12" s="47" t="s">
        <v>100</v>
      </c>
    </row>
    <row r="13" spans="2:7" x14ac:dyDescent="0.3">
      <c r="B13" s="47" t="s">
        <v>45</v>
      </c>
      <c r="C13" s="47" t="s">
        <v>101</v>
      </c>
      <c r="D13" s="47" t="s">
        <v>102</v>
      </c>
      <c r="E13" s="47" t="s">
        <v>103</v>
      </c>
      <c r="F13" s="47" t="s">
        <v>104</v>
      </c>
      <c r="G13" s="47" t="s">
        <v>105</v>
      </c>
    </row>
    <row r="14" spans="2:7" x14ac:dyDescent="0.3">
      <c r="B14" s="47" t="s">
        <v>42</v>
      </c>
      <c r="C14" s="47" t="s">
        <v>106</v>
      </c>
      <c r="D14" s="47" t="s">
        <v>107</v>
      </c>
      <c r="E14" s="47" t="s">
        <v>108</v>
      </c>
      <c r="F14" s="47" t="s">
        <v>82</v>
      </c>
      <c r="G14" s="47" t="s">
        <v>109</v>
      </c>
    </row>
    <row r="15" spans="2:7" x14ac:dyDescent="0.3">
      <c r="B15" s="47" t="s">
        <v>39</v>
      </c>
      <c r="C15" s="47" t="s">
        <v>110</v>
      </c>
      <c r="D15" s="47" t="s">
        <v>111</v>
      </c>
      <c r="E15" s="47" t="s">
        <v>112</v>
      </c>
      <c r="F15" s="47" t="s">
        <v>113</v>
      </c>
      <c r="G15" s="47" t="s">
        <v>114</v>
      </c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2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Harold Steven Arias Rendon</cp:lastModifiedBy>
  <cp:revision/>
  <dcterms:created xsi:type="dcterms:W3CDTF">2025-08-08T19:10:45Z</dcterms:created>
  <dcterms:modified xsi:type="dcterms:W3CDTF">2026-03-15T23:28:53Z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